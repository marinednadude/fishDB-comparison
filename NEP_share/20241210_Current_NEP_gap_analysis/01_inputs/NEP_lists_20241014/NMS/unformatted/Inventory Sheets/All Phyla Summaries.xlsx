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<sst xmlns="http://schemas.openxmlformats.org/spreadsheetml/2006/main" count="84" uniqueCount="60">
  <si>
    <t>Phylum</t>
  </si>
  <si>
    <t>Total Species</t>
  </si>
  <si>
    <t>Olympic Coast Total</t>
  </si>
  <si>
    <t>Greater Farallones Total</t>
  </si>
  <si>
    <t>Monterey Bay Total</t>
  </si>
  <si>
    <t>Channel Islands Total</t>
  </si>
  <si>
    <t>Ready for Expert Verification?</t>
  </si>
  <si>
    <t>Finished?</t>
  </si>
  <si>
    <t>Species Worldwide</t>
  </si>
  <si>
    <t>Source</t>
  </si>
  <si>
    <t>Significant Percentages</t>
  </si>
  <si>
    <t>Annelids</t>
  </si>
  <si>
    <t>Yes</t>
  </si>
  <si>
    <t>Arthropods</t>
  </si>
  <si>
    <t>Arachnida = 60000, Hexanauplia = 12893, Malacostraca = 25000, Ostracoda = 8000, Pycnogonida = 1000</t>
  </si>
  <si>
    <t>ADW, WoRMS, Berk</t>
  </si>
  <si>
    <t>Chordates (Aves)</t>
  </si>
  <si>
    <t>http://datazone.birdlife.org/sowb/spotseabirds</t>
  </si>
  <si>
    <t>The sanctuaries in total contain ~51.4% of all marine seabird species</t>
  </si>
  <si>
    <t>Brachiopoda</t>
  </si>
  <si>
    <t>Bryozoa</t>
  </si>
  <si>
    <t>Chaetognatha</t>
  </si>
  <si>
    <t>Chordates (Fish)</t>
  </si>
  <si>
    <t>Chordates (Mammals)</t>
  </si>
  <si>
    <t>https://www.sciencedirect.com/topics/agricultural-and-biological-sciences/marine-mammals</t>
  </si>
  <si>
    <t>The sanctuaries in total provide habitat for ~32% of all marine mammals species</t>
  </si>
  <si>
    <t>Chordates (Reptiles)</t>
  </si>
  <si>
    <t>Cnidaria</t>
  </si>
  <si>
    <t>Ctenophora</t>
  </si>
  <si>
    <t>Echinodermata</t>
  </si>
  <si>
    <t>Entoprocta</t>
  </si>
  <si>
    <t xml:space="preserve">Gastrotricha </t>
  </si>
  <si>
    <t>https://www.ncbi.nlm.nih.gov/</t>
  </si>
  <si>
    <t>Hemichordata</t>
  </si>
  <si>
    <t>Kinorhyncha</t>
  </si>
  <si>
    <t>www.earthlife.net</t>
  </si>
  <si>
    <t>Olympic coast has around 5% (4.6% exactly) of all species within it's sanctuary</t>
  </si>
  <si>
    <t>Loricifera</t>
  </si>
  <si>
    <t>37 described 100+ undescribed</t>
  </si>
  <si>
    <t>Wikipedia Cited 3 papers</t>
  </si>
  <si>
    <t>Monterey and Greater Farallones have 5% of all species *Probably more if we find more species</t>
  </si>
  <si>
    <t>Mollusca</t>
  </si>
  <si>
    <t>Nematoda</t>
  </si>
  <si>
    <t>Nemertea</t>
  </si>
  <si>
    <t>Orthonectida</t>
  </si>
  <si>
    <t>Phoronida</t>
  </si>
  <si>
    <t>earthlife.net</t>
  </si>
  <si>
    <t>All sanctuaries except olympic coast have 50% of all phoronid species located in the sanctuary. Olympic coast has 40%. Together the sanctuaries protect 60%.</t>
  </si>
  <si>
    <t>Platyhelminthes</t>
  </si>
  <si>
    <t>Porifera</t>
  </si>
  <si>
    <t>9052 (marine), 9314 total (marine + fresh)</t>
  </si>
  <si>
    <t>http://www.marinespecies.org/porifera/porifera.php?p=stats</t>
  </si>
  <si>
    <t>Priapulida</t>
  </si>
  <si>
    <t>Protozoa</t>
  </si>
  <si>
    <t>Reptilia</t>
  </si>
  <si>
    <t>Rhombozoa (Dicyemida)</t>
  </si>
  <si>
    <t>Sipuncula</t>
  </si>
  <si>
    <t>Tardigrada</t>
  </si>
  <si>
    <t>Tunicata</t>
  </si>
  <si>
    <t>Xenacoelomorpha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</si>
</sst>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color rgb="FF0000FF"/>
    </font>
    <font>
      <u/>
      <color rgb="FF660099"/>
      <name val="Roboto"/>
    </font>
    <font>
      <color rgb="FF000000"/>
      <name val="Roboto"/>
    </font>
    <font>
      <u/>
      <sz val="12.0"/>
      <color rgb="FF1155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2" numFmtId="0" xfId="0" applyAlignment="1" applyFont="1">
      <alignment readingOrder="0" vertical="bottom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atazone.birdlife.org/sowb/spotseabirds" TargetMode="External"/><Relationship Id="rId2" Type="http://schemas.openxmlformats.org/officeDocument/2006/relationships/hyperlink" Target="https://www.sciencedirect.com/topics/agricultural-and-biological-sciences/marine-mammals" TargetMode="External"/><Relationship Id="rId3" Type="http://schemas.openxmlformats.org/officeDocument/2006/relationships/hyperlink" Target="https://www.ncbi.nlm.nih.gov/" TargetMode="External"/><Relationship Id="rId4" Type="http://schemas.openxmlformats.org/officeDocument/2006/relationships/hyperlink" Target="https://www.google.com/url?sa=t&amp;rct=j&amp;q=&amp;esrc=s&amp;source=web&amp;cd=&amp;ved=2ahUKEwi0w8b2i8vqAhUSRKwKHTBjC2MQFjADegQICxAG&amp;url=https%3A%2F%2Fwww.earthlife.net%2Finverts%2Fkinorhyncha.html%23%3A~%3Atext%3DKinorhyncha%2520are%2520not%2520a%2520very%2Cthe%2520world%27s%2520seas%2520and%2520oceans.&amp;usg=AOvVaw1_vl_vZD2YoRgA9E1T51MR" TargetMode="External"/><Relationship Id="rId5" Type="http://schemas.openxmlformats.org/officeDocument/2006/relationships/hyperlink" Target="http://earthlife.net/" TargetMode="External"/><Relationship Id="rId6" Type="http://schemas.openxmlformats.org/officeDocument/2006/relationships/hyperlink" Target="http://www.marinespecies.org/porifera/porifera.php?p=stats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13"/>
    <col customWidth="1" min="2" max="2" width="12.63"/>
    <col customWidth="1" min="3" max="3" width="19.0"/>
    <col customWidth="1" min="4" max="4" width="22.75"/>
    <col customWidth="1" min="5" max="5" width="16.75"/>
    <col customWidth="1" min="6" max="6" width="18.38"/>
    <col customWidth="1" min="7" max="7" width="17.38"/>
    <col customWidth="1" min="8" max="8" width="18.38"/>
    <col customWidth="1" min="9" max="9" width="50.75"/>
    <col customWidth="1" min="10" max="10" width="35.75"/>
    <col customWidth="1" min="11" max="11" width="8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</row>
    <row r="2">
      <c r="A2" s="4" t="s">
        <v>11</v>
      </c>
      <c r="B2" s="4">
        <v>535.0</v>
      </c>
      <c r="C2" s="4">
        <f>349+40</f>
        <v>389</v>
      </c>
      <c r="D2" s="4">
        <f>420+40</f>
        <v>460</v>
      </c>
      <c r="E2" s="4">
        <f>424+38</f>
        <v>462</v>
      </c>
      <c r="F2" s="4">
        <f>392+25</f>
        <v>417</v>
      </c>
      <c r="G2" s="4" t="s">
        <v>12</v>
      </c>
      <c r="H2" s="3"/>
      <c r="I2" s="3"/>
      <c r="J2" s="3"/>
      <c r="K2" s="3"/>
      <c r="L2" s="3"/>
      <c r="M2" s="3"/>
      <c r="N2" s="3"/>
    </row>
    <row r="3" ht="17.25" customHeight="1">
      <c r="A3" s="4" t="s">
        <v>13</v>
      </c>
      <c r="B3" s="4">
        <v>1004.0</v>
      </c>
      <c r="C3" s="4">
        <v>647.0</v>
      </c>
      <c r="D3" s="4">
        <v>700.0</v>
      </c>
      <c r="E3" s="4">
        <v>799.0</v>
      </c>
      <c r="F3" s="4">
        <v>745.0</v>
      </c>
      <c r="G3" s="4" t="s">
        <v>12</v>
      </c>
      <c r="H3" s="3"/>
      <c r="I3" s="5" t="s">
        <v>14</v>
      </c>
      <c r="J3" s="5" t="s">
        <v>15</v>
      </c>
      <c r="K3" s="3"/>
      <c r="L3" s="3"/>
      <c r="M3" s="3"/>
      <c r="N3" s="3"/>
    </row>
    <row r="4">
      <c r="A4" s="4" t="s">
        <v>16</v>
      </c>
      <c r="B4" s="4">
        <v>180.0</v>
      </c>
      <c r="C4" s="4">
        <v>164.0</v>
      </c>
      <c r="D4" s="4">
        <v>175.0</v>
      </c>
      <c r="E4" s="4">
        <v>177.0</v>
      </c>
      <c r="F4" s="4">
        <v>170.0</v>
      </c>
      <c r="G4" s="4" t="s">
        <v>12</v>
      </c>
      <c r="H4" s="3"/>
      <c r="I4" s="4">
        <v>350.0</v>
      </c>
      <c r="J4" s="6" t="s">
        <v>17</v>
      </c>
      <c r="K4" s="4" t="s">
        <v>18</v>
      </c>
      <c r="L4" s="3"/>
      <c r="M4" s="3"/>
      <c r="N4" s="3"/>
    </row>
    <row r="5">
      <c r="A5" s="4" t="s">
        <v>19</v>
      </c>
      <c r="B5" s="4">
        <v>11.0</v>
      </c>
      <c r="C5" s="4">
        <v>8.0</v>
      </c>
      <c r="D5" s="4">
        <v>7.0</v>
      </c>
      <c r="E5" s="4">
        <v>9.0</v>
      </c>
      <c r="F5" s="4">
        <v>9.0</v>
      </c>
      <c r="G5" s="4" t="s">
        <v>12</v>
      </c>
      <c r="H5" s="3"/>
      <c r="I5" s="3"/>
      <c r="J5" s="3"/>
      <c r="K5" s="3"/>
      <c r="L5" s="3"/>
      <c r="M5" s="3"/>
      <c r="N5" s="3"/>
    </row>
    <row r="6">
      <c r="A6" s="4" t="s">
        <v>20</v>
      </c>
      <c r="B6" s="4">
        <v>161.0</v>
      </c>
      <c r="C6" s="4">
        <v>137.0</v>
      </c>
      <c r="D6" s="4">
        <v>145.0</v>
      </c>
      <c r="E6" s="4">
        <v>160.0</v>
      </c>
      <c r="F6" s="4">
        <v>144.0</v>
      </c>
      <c r="G6" s="4" t="s">
        <v>12</v>
      </c>
      <c r="H6" s="3"/>
      <c r="I6" s="3"/>
      <c r="J6" s="3"/>
      <c r="K6" s="3"/>
      <c r="L6" s="3"/>
      <c r="M6" s="3"/>
      <c r="N6" s="3"/>
    </row>
    <row r="7">
      <c r="A7" s="4" t="s">
        <v>21</v>
      </c>
      <c r="B7" s="4">
        <v>11.0</v>
      </c>
      <c r="C7" s="4">
        <v>9.0</v>
      </c>
      <c r="D7" s="4">
        <v>11.0</v>
      </c>
      <c r="E7" s="4">
        <v>11.0</v>
      </c>
      <c r="F7" s="4">
        <v>9.0</v>
      </c>
      <c r="G7" s="4" t="s">
        <v>12</v>
      </c>
      <c r="H7" s="3"/>
      <c r="I7" s="3"/>
      <c r="J7" s="3"/>
      <c r="K7" s="3"/>
      <c r="L7" s="3"/>
      <c r="M7" s="3"/>
      <c r="N7" s="3"/>
    </row>
    <row r="8">
      <c r="A8" s="4" t="s">
        <v>22</v>
      </c>
      <c r="B8" s="4">
        <v>571.0</v>
      </c>
      <c r="C8" s="4">
        <v>395.0</v>
      </c>
      <c r="D8" s="4">
        <v>490.0</v>
      </c>
      <c r="E8" s="4">
        <v>547.0</v>
      </c>
      <c r="F8" s="4">
        <v>525.0</v>
      </c>
      <c r="G8" s="4" t="s">
        <v>12</v>
      </c>
      <c r="H8" s="3"/>
      <c r="I8" s="3"/>
      <c r="J8" s="3"/>
      <c r="K8" s="3"/>
      <c r="L8" s="3"/>
      <c r="M8" s="3"/>
      <c r="N8" s="3"/>
    </row>
    <row r="9">
      <c r="A9" s="4" t="s">
        <v>23</v>
      </c>
      <c r="B9" s="4">
        <v>40.0</v>
      </c>
      <c r="C9" s="4">
        <v>34.0</v>
      </c>
      <c r="D9" s="4">
        <v>38.0</v>
      </c>
      <c r="E9" s="4">
        <v>40.0</v>
      </c>
      <c r="F9" s="4">
        <v>37.0</v>
      </c>
      <c r="G9" s="4" t="s">
        <v>12</v>
      </c>
      <c r="H9" s="3"/>
      <c r="I9" s="4">
        <v>125.0</v>
      </c>
      <c r="J9" s="6" t="s">
        <v>24</v>
      </c>
      <c r="K9" s="4" t="s">
        <v>25</v>
      </c>
      <c r="L9" s="3"/>
      <c r="M9" s="3"/>
      <c r="N9" s="3"/>
    </row>
    <row r="10">
      <c r="A10" s="4" t="s">
        <v>26</v>
      </c>
      <c r="B10" s="4">
        <v>5.0</v>
      </c>
      <c r="C10" s="4">
        <v>3.0</v>
      </c>
      <c r="D10" s="4">
        <v>4.0</v>
      </c>
      <c r="E10" s="4">
        <v>5.0</v>
      </c>
      <c r="F10" s="4">
        <v>5.0</v>
      </c>
      <c r="G10" s="4" t="s">
        <v>12</v>
      </c>
      <c r="H10" s="3"/>
      <c r="I10" s="3"/>
      <c r="J10" s="3"/>
      <c r="K10" s="3"/>
      <c r="L10" s="3"/>
      <c r="M10" s="3"/>
      <c r="N10" s="3"/>
    </row>
    <row r="11">
      <c r="A11" s="4" t="s">
        <v>27</v>
      </c>
      <c r="B11" s="4">
        <v>394.0</v>
      </c>
      <c r="C11" s="4">
        <v>303.0</v>
      </c>
      <c r="D11" s="4">
        <v>332.0</v>
      </c>
      <c r="E11" s="4">
        <v>370.0</v>
      </c>
      <c r="F11" s="4">
        <v>323.0</v>
      </c>
      <c r="G11" s="4" t="s">
        <v>12</v>
      </c>
      <c r="H11" s="3"/>
      <c r="I11" s="3"/>
      <c r="J11" s="3"/>
      <c r="K11" s="3"/>
      <c r="L11" s="3"/>
      <c r="M11" s="3"/>
      <c r="N11" s="3"/>
    </row>
    <row r="12">
      <c r="A12" s="4" t="s">
        <v>28</v>
      </c>
      <c r="B12" s="4">
        <v>28.0</v>
      </c>
      <c r="C12" s="4">
        <v>16.0</v>
      </c>
      <c r="D12" s="4">
        <v>19.0</v>
      </c>
      <c r="E12" s="4">
        <v>27.0</v>
      </c>
      <c r="F12" s="4">
        <v>20.0</v>
      </c>
      <c r="G12" s="4" t="s">
        <v>12</v>
      </c>
      <c r="H12" s="3"/>
      <c r="I12" s="3"/>
      <c r="J12" s="3"/>
      <c r="K12" s="3"/>
      <c r="L12" s="3"/>
      <c r="M12" s="3"/>
      <c r="N12" s="3"/>
    </row>
    <row r="13">
      <c r="A13" s="4" t="s">
        <v>29</v>
      </c>
      <c r="B13" s="4">
        <v>166.0</v>
      </c>
      <c r="C13" s="4">
        <v>122.0</v>
      </c>
      <c r="D13" s="4">
        <v>135.0</v>
      </c>
      <c r="E13" s="4">
        <v>154.0</v>
      </c>
      <c r="F13" s="4">
        <v>133.0</v>
      </c>
      <c r="G13" s="4" t="s">
        <v>12</v>
      </c>
      <c r="H13" s="3"/>
      <c r="I13" s="3"/>
      <c r="J13" s="3"/>
      <c r="K13" s="3"/>
      <c r="L13" s="3"/>
      <c r="M13" s="3"/>
      <c r="N13" s="3"/>
    </row>
    <row r="14">
      <c r="A14" s="4" t="s">
        <v>30</v>
      </c>
      <c r="B14" s="4">
        <v>8.0</v>
      </c>
      <c r="C14" s="4">
        <v>8.0</v>
      </c>
      <c r="D14" s="4">
        <v>7.0</v>
      </c>
      <c r="E14" s="4">
        <v>7.0</v>
      </c>
      <c r="F14" s="4">
        <v>5.0</v>
      </c>
      <c r="G14" s="4" t="s">
        <v>12</v>
      </c>
      <c r="H14" s="3"/>
      <c r="I14" s="3"/>
      <c r="J14" s="3"/>
      <c r="K14" s="3"/>
      <c r="L14" s="3"/>
      <c r="M14" s="3"/>
      <c r="N14" s="3"/>
    </row>
    <row r="15">
      <c r="A15" s="7" t="s">
        <v>31</v>
      </c>
      <c r="B15" s="4">
        <v>5.0</v>
      </c>
      <c r="C15" s="4">
        <v>5.0</v>
      </c>
      <c r="D15" s="4">
        <v>5.0</v>
      </c>
      <c r="E15" s="4">
        <v>5.0</v>
      </c>
      <c r="F15" s="4">
        <v>5.0</v>
      </c>
      <c r="G15" s="4" t="s">
        <v>12</v>
      </c>
      <c r="H15" s="3"/>
      <c r="I15" s="4">
        <v>813.0</v>
      </c>
      <c r="J15" s="8" t="s">
        <v>32</v>
      </c>
      <c r="K15" s="3"/>
      <c r="L15" s="3"/>
      <c r="M15" s="3"/>
      <c r="N15" s="3"/>
    </row>
    <row r="16">
      <c r="A16" s="4" t="s">
        <v>33</v>
      </c>
      <c r="B16" s="4">
        <v>8.0</v>
      </c>
      <c r="C16" s="4">
        <v>4.0</v>
      </c>
      <c r="D16" s="4">
        <v>2.0</v>
      </c>
      <c r="E16" s="4">
        <v>6.0</v>
      </c>
      <c r="F16" s="4">
        <v>3.0</v>
      </c>
      <c r="G16" s="4" t="s">
        <v>12</v>
      </c>
      <c r="H16" s="3"/>
      <c r="I16" s="3"/>
      <c r="J16" s="3"/>
      <c r="K16" s="3"/>
      <c r="L16" s="3"/>
      <c r="M16" s="3"/>
      <c r="N16" s="3"/>
    </row>
    <row r="17" ht="16.5" customHeight="1">
      <c r="A17" s="7" t="s">
        <v>34</v>
      </c>
      <c r="B17" s="4">
        <v>7.0</v>
      </c>
      <c r="C17" s="4">
        <v>7.0</v>
      </c>
      <c r="D17" s="4">
        <v>2.0</v>
      </c>
      <c r="E17" s="4">
        <v>2.0</v>
      </c>
      <c r="F17" s="4">
        <v>0.0</v>
      </c>
      <c r="G17" s="4"/>
      <c r="H17" s="3"/>
      <c r="I17" s="4">
        <v>150.0</v>
      </c>
      <c r="J17" s="9" t="s">
        <v>35</v>
      </c>
      <c r="K17" s="4" t="s">
        <v>36</v>
      </c>
      <c r="L17" s="3"/>
      <c r="M17" s="3"/>
      <c r="N17" s="3"/>
    </row>
    <row r="18">
      <c r="A18" s="10" t="s">
        <v>37</v>
      </c>
      <c r="B18" s="4">
        <v>2.0</v>
      </c>
      <c r="C18" s="4">
        <v>0.0</v>
      </c>
      <c r="D18" s="4">
        <v>2.0</v>
      </c>
      <c r="E18" s="4">
        <v>2.0</v>
      </c>
      <c r="F18" s="4">
        <v>0.0</v>
      </c>
      <c r="G18" s="4"/>
      <c r="H18" s="3"/>
      <c r="I18" s="4" t="s">
        <v>38</v>
      </c>
      <c r="J18" s="11" t="s">
        <v>39</v>
      </c>
      <c r="K18" s="4" t="s">
        <v>40</v>
      </c>
      <c r="L18" s="3"/>
      <c r="M18" s="3"/>
      <c r="N18" s="3"/>
    </row>
    <row r="19">
      <c r="A19" s="4" t="s">
        <v>41</v>
      </c>
      <c r="B19" s="4">
        <v>874.0</v>
      </c>
      <c r="C19" s="4">
        <v>570.0</v>
      </c>
      <c r="D19" s="4">
        <v>627.0</v>
      </c>
      <c r="E19" s="4">
        <v>766.0</v>
      </c>
      <c r="F19" s="4">
        <v>692.0</v>
      </c>
      <c r="G19" s="4" t="s">
        <v>12</v>
      </c>
      <c r="H19" s="3"/>
      <c r="I19" s="3"/>
      <c r="J19" s="3"/>
      <c r="K19" s="3"/>
      <c r="L19" s="3"/>
      <c r="M19" s="3"/>
      <c r="N19" s="3"/>
    </row>
    <row r="20">
      <c r="A20" s="10" t="s">
        <v>42</v>
      </c>
      <c r="B20" s="4">
        <v>25.0</v>
      </c>
      <c r="C20" s="4">
        <v>1.0</v>
      </c>
      <c r="D20" s="4">
        <v>19.0</v>
      </c>
      <c r="E20" s="4">
        <v>10.0</v>
      </c>
      <c r="F20" s="4">
        <v>1.0</v>
      </c>
      <c r="G20" s="4"/>
      <c r="H20" s="3"/>
      <c r="I20" s="4"/>
      <c r="J20" s="11"/>
      <c r="K20" s="4"/>
      <c r="L20" s="3"/>
      <c r="M20" s="3"/>
      <c r="N20" s="3"/>
    </row>
    <row r="21">
      <c r="A21" s="4" t="s">
        <v>43</v>
      </c>
      <c r="B21" s="4">
        <v>63.0</v>
      </c>
      <c r="C21" s="4">
        <v>45.0</v>
      </c>
      <c r="D21" s="4">
        <v>52.0</v>
      </c>
      <c r="E21" s="4">
        <v>55.0</v>
      </c>
      <c r="F21" s="4">
        <v>42.0</v>
      </c>
      <c r="G21" s="4" t="s">
        <v>12</v>
      </c>
      <c r="H21" s="3"/>
      <c r="I21" s="3"/>
      <c r="J21" s="3"/>
      <c r="K21" s="3"/>
      <c r="L21" s="3"/>
      <c r="M21" s="3"/>
      <c r="N21" s="3"/>
    </row>
    <row r="22">
      <c r="A22" s="4" t="s">
        <v>44</v>
      </c>
      <c r="B22" s="4">
        <v>4.0</v>
      </c>
      <c r="C22" s="4">
        <v>4.0</v>
      </c>
      <c r="D22" s="4">
        <v>4.0</v>
      </c>
      <c r="E22" s="4">
        <v>4.0</v>
      </c>
      <c r="F22" s="4">
        <v>3.0</v>
      </c>
      <c r="G22" s="4"/>
      <c r="H22" s="3"/>
      <c r="I22" s="4"/>
      <c r="J22" s="12"/>
      <c r="K22" s="5"/>
      <c r="L22" s="3"/>
      <c r="M22" s="3"/>
      <c r="N22" s="3"/>
    </row>
    <row r="23" ht="17.25" customHeight="1">
      <c r="A23" s="4" t="s">
        <v>45</v>
      </c>
      <c r="B23" s="4">
        <v>6.0</v>
      </c>
      <c r="C23" s="4">
        <v>4.0</v>
      </c>
      <c r="D23" s="4">
        <v>5.0</v>
      </c>
      <c r="E23" s="4">
        <v>5.0</v>
      </c>
      <c r="F23" s="4">
        <v>5.0</v>
      </c>
      <c r="G23" s="4" t="s">
        <v>12</v>
      </c>
      <c r="H23" s="3"/>
      <c r="I23" s="4">
        <v>10.0</v>
      </c>
      <c r="J23" s="12" t="s">
        <v>46</v>
      </c>
      <c r="K23" s="5" t="s">
        <v>47</v>
      </c>
      <c r="L23" s="3"/>
      <c r="M23" s="3"/>
      <c r="N23" s="3"/>
    </row>
    <row r="24">
      <c r="A24" s="4" t="s">
        <v>48</v>
      </c>
      <c r="B24" s="4">
        <v>80.0</v>
      </c>
      <c r="C24" s="4">
        <v>41.0</v>
      </c>
      <c r="D24" s="4">
        <v>63.0</v>
      </c>
      <c r="E24" s="4">
        <v>72.0</v>
      </c>
      <c r="F24" s="4">
        <v>62.0</v>
      </c>
      <c r="G24" s="4" t="s">
        <v>12</v>
      </c>
      <c r="H24" s="3"/>
      <c r="I24" s="3"/>
      <c r="J24" s="3"/>
      <c r="K24" s="3"/>
      <c r="L24" s="3"/>
      <c r="M24" s="3"/>
      <c r="N24" s="3"/>
    </row>
    <row r="25">
      <c r="A25" s="4" t="s">
        <v>49</v>
      </c>
      <c r="B25" s="4">
        <v>168.0</v>
      </c>
      <c r="C25" s="4">
        <v>109.0</v>
      </c>
      <c r="D25" s="4">
        <v>119.0</v>
      </c>
      <c r="E25" s="4">
        <v>157.0</v>
      </c>
      <c r="F25" s="4">
        <v>117.0</v>
      </c>
      <c r="G25" s="4" t="s">
        <v>12</v>
      </c>
      <c r="H25" s="4" t="s">
        <v>12</v>
      </c>
      <c r="I25" s="4" t="s">
        <v>50</v>
      </c>
      <c r="J25" s="6" t="s">
        <v>51</v>
      </c>
      <c r="K25" s="3"/>
      <c r="L25" s="3"/>
      <c r="M25" s="3"/>
      <c r="N25" s="3"/>
    </row>
    <row r="26">
      <c r="A26" s="4" t="s">
        <v>52</v>
      </c>
      <c r="B26" s="4">
        <v>1.0</v>
      </c>
      <c r="C26" s="4">
        <v>1.0</v>
      </c>
      <c r="D26" s="4">
        <v>1.0</v>
      </c>
      <c r="E26" s="4">
        <v>1.0</v>
      </c>
      <c r="F26" s="4">
        <v>0.0</v>
      </c>
      <c r="G26" s="4"/>
      <c r="H26" s="3"/>
      <c r="I26" s="3"/>
      <c r="J26" s="3"/>
      <c r="K26" s="3"/>
      <c r="L26" s="3"/>
      <c r="M26" s="3"/>
      <c r="N26" s="3"/>
    </row>
    <row r="27">
      <c r="A27" s="4" t="s">
        <v>53</v>
      </c>
      <c r="B27" s="4">
        <v>18.0</v>
      </c>
      <c r="C27" s="4">
        <v>11.0</v>
      </c>
      <c r="D27" s="4">
        <v>17.0</v>
      </c>
      <c r="E27" s="4">
        <v>17.0</v>
      </c>
      <c r="F27" s="4">
        <v>14.0</v>
      </c>
      <c r="G27" s="4" t="s">
        <v>12</v>
      </c>
      <c r="H27" s="3"/>
      <c r="I27" s="3"/>
      <c r="J27" s="3"/>
      <c r="K27" s="3"/>
      <c r="L27" s="3"/>
      <c r="M27" s="3"/>
      <c r="N27" s="3"/>
    </row>
    <row r="28">
      <c r="A28" s="4" t="s">
        <v>54</v>
      </c>
      <c r="B28" s="4">
        <v>5.0</v>
      </c>
      <c r="C28" s="4">
        <v>3.0</v>
      </c>
      <c r="D28" s="4">
        <v>4.0</v>
      </c>
      <c r="E28" s="4">
        <v>5.0</v>
      </c>
      <c r="F28" s="4">
        <v>5.0</v>
      </c>
      <c r="G28" s="4"/>
      <c r="H28" s="3"/>
      <c r="I28" s="3"/>
      <c r="J28" s="3"/>
      <c r="K28" s="3"/>
      <c r="L28" s="3"/>
      <c r="M28" s="3"/>
      <c r="N28" s="3"/>
    </row>
    <row r="29">
      <c r="A29" s="4" t="s">
        <v>55</v>
      </c>
      <c r="B29" s="4">
        <v>16.0</v>
      </c>
      <c r="C29" s="4">
        <v>16.0</v>
      </c>
      <c r="D29" s="4">
        <v>16.0</v>
      </c>
      <c r="E29" s="4">
        <v>16.0</v>
      </c>
      <c r="F29" s="4">
        <v>16.0</v>
      </c>
      <c r="G29" s="4"/>
      <c r="H29" s="3"/>
      <c r="I29" s="3"/>
      <c r="J29" s="3"/>
      <c r="K29" s="3"/>
      <c r="L29" s="3"/>
      <c r="M29" s="3"/>
      <c r="N29" s="3"/>
    </row>
    <row r="30">
      <c r="A30" s="4" t="s">
        <v>56</v>
      </c>
      <c r="B30" s="4">
        <v>14.0</v>
      </c>
      <c r="C30" s="4">
        <v>7.0</v>
      </c>
      <c r="D30" s="4">
        <v>11.0</v>
      </c>
      <c r="E30" s="4">
        <v>11.0</v>
      </c>
      <c r="F30" s="4">
        <v>9.0</v>
      </c>
      <c r="G30" s="4" t="s">
        <v>12</v>
      </c>
      <c r="H30" s="3"/>
      <c r="I30" s="3"/>
      <c r="J30" s="3"/>
      <c r="K30" s="3"/>
      <c r="L30" s="3"/>
      <c r="M30" s="3"/>
      <c r="N30" s="3"/>
    </row>
    <row r="31">
      <c r="A31" s="4" t="s">
        <v>57</v>
      </c>
      <c r="B31" s="4">
        <v>8.0</v>
      </c>
      <c r="C31" s="4">
        <v>6.0</v>
      </c>
      <c r="D31" s="4">
        <v>8.0</v>
      </c>
      <c r="E31" s="4">
        <v>6.0</v>
      </c>
      <c r="F31" s="4">
        <v>6.0</v>
      </c>
      <c r="G31" s="4" t="s">
        <v>12</v>
      </c>
      <c r="H31" s="3"/>
      <c r="I31" s="3"/>
      <c r="J31" s="3"/>
      <c r="K31" s="3"/>
      <c r="L31" s="3"/>
      <c r="M31" s="3"/>
      <c r="N31" s="3"/>
    </row>
    <row r="32">
      <c r="A32" s="4" t="s">
        <v>58</v>
      </c>
      <c r="B32" s="4">
        <v>97.0</v>
      </c>
      <c r="C32" s="4">
        <v>79.0</v>
      </c>
      <c r="D32" s="4">
        <v>80.0</v>
      </c>
      <c r="E32" s="4">
        <v>87.0</v>
      </c>
      <c r="F32" s="4">
        <v>80.0</v>
      </c>
      <c r="G32" s="4" t="s">
        <v>12</v>
      </c>
      <c r="H32" s="3"/>
      <c r="I32" s="3"/>
      <c r="J32" s="3"/>
      <c r="K32" s="3"/>
      <c r="L32" s="3"/>
      <c r="M32" s="3"/>
      <c r="N32" s="3"/>
    </row>
    <row r="33">
      <c r="A33" s="4" t="s">
        <v>59</v>
      </c>
      <c r="B33" s="4">
        <v>5.0</v>
      </c>
      <c r="C33" s="4">
        <v>0.0</v>
      </c>
      <c r="D33" s="4">
        <v>4.0</v>
      </c>
      <c r="E33" s="4">
        <v>2.0</v>
      </c>
      <c r="F33" s="4">
        <v>1.0</v>
      </c>
      <c r="G33" s="4"/>
      <c r="H33" s="3"/>
      <c r="I33" s="3"/>
      <c r="J33" s="3"/>
      <c r="K33" s="3"/>
      <c r="L33" s="3"/>
      <c r="M33" s="3"/>
      <c r="N33" s="3"/>
    </row>
    <row r="34">
      <c r="A34" s="4"/>
      <c r="B34" s="4"/>
      <c r="C34" s="4"/>
      <c r="D34" s="4"/>
      <c r="E34" s="4"/>
      <c r="G34" s="4"/>
      <c r="H34" s="3"/>
      <c r="I34" s="3"/>
      <c r="J34" s="3"/>
      <c r="K34" s="3"/>
      <c r="L34" s="3"/>
      <c r="M34" s="3"/>
      <c r="N34" s="3"/>
    </row>
    <row r="35">
      <c r="A35" s="4"/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</row>
  </sheetData>
  <hyperlinks>
    <hyperlink r:id="rId1" ref="J4"/>
    <hyperlink r:id="rId2" ref="J9"/>
    <hyperlink r:id="rId3" ref="J15"/>
    <hyperlink r:id="rId4" ref="J17"/>
    <hyperlink r:id="rId5" ref="J23"/>
    <hyperlink r:id="rId6" ref="J25"/>
  </hyperlinks>
  <drawing r:id="rId7"/>
</worksheet>
</file>